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ja\Desktop\"/>
    </mc:Choice>
  </mc:AlternateContent>
  <xr:revisionPtr revIDLastSave="77" documentId="11_B79980F77C593E13EF33DC7F2971FC481A11BB50" xr6:coauthVersionLast="47" xr6:coauthVersionMax="47" xr10:uidLastSave="{E062FE56-32A0-4E24-A592-E81F3B7C66A5}"/>
  <bookViews>
    <workbookView xWindow="0" yWindow="0" windowWidth="25200" windowHeight="11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3" i="1"/>
  <c r="K2" i="1"/>
  <c r="A6" i="1"/>
  <c r="B4" i="1"/>
  <c r="A4" i="1"/>
</calcChain>
</file>

<file path=xl/sharedStrings.xml><?xml version="1.0" encoding="utf-8"?>
<sst xmlns="http://schemas.openxmlformats.org/spreadsheetml/2006/main" count="28" uniqueCount="27">
  <si>
    <r>
      <t>T(</t>
    </r>
    <r>
      <rPr>
        <sz val="11"/>
        <color theme="1"/>
        <rFont val="Calibri"/>
        <family val="2"/>
      </rPr>
      <t>◦C)</t>
    </r>
  </si>
  <si>
    <t>LM35 OUT (mV/◦C)</t>
  </si>
  <si>
    <t>Vastus</t>
  </si>
  <si>
    <t>Kaava</t>
  </si>
  <si>
    <t>Tarkka</t>
  </si>
  <si>
    <t>Vastaus</t>
  </si>
  <si>
    <t>R1</t>
  </si>
  <si>
    <t>-V / 50µA</t>
  </si>
  <si>
    <t>240k</t>
  </si>
  <si>
    <r>
      <t>U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(mV)</t>
    </r>
  </si>
  <si>
    <t>Vs(V)</t>
  </si>
  <si>
    <t>R3</t>
  </si>
  <si>
    <t>Uout=Uin*R3/(R2+R3)</t>
  </si>
  <si>
    <t>Uout*(R2+R3)=Uin*R3</t>
  </si>
  <si>
    <r>
      <t>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</rPr>
      <t>Ჲ)</t>
    </r>
  </si>
  <si>
    <t>Uout*R2+Uout*R3=Uin*R3</t>
  </si>
  <si>
    <t>Uout*R2=Uin*R3-Uout*R3</t>
  </si>
  <si>
    <t>Uout*R2=R3*(Uin-Uout)</t>
  </si>
  <si>
    <t>R3=Uout*R2/(Uin-Uout)</t>
  </si>
  <si>
    <t>R7 ja R6</t>
  </si>
  <si>
    <t>Uout=-R7/R4*(Ur4-Ur5)</t>
  </si>
  <si>
    <t>50k</t>
  </si>
  <si>
    <t>Uout/(Ur4-Ur5)=-R7/R4</t>
  </si>
  <si>
    <t>Uout/(Ur4-Ur5)*R4=-R7</t>
  </si>
  <si>
    <t>R7=-Uout/(Ur4-Ur5)*R4</t>
  </si>
  <si>
    <t>R6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</si>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</sst>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400" zoomScaleNormal="400" workbookViewId="0">
      <selection activeCell="I12" sqref="I12"/>
    </sheetView>
  </sheetViews>
  <sheetFormatPr defaultRowHeight="15"/>
  <cols>
    <col min="1" max="1" width="8.5703125" customWidth="1"/>
    <col min="4" max="4" width="21" customWidth="1"/>
    <col min="8" max="8" width="25.28515625" bestFit="1" customWidth="1"/>
  </cols>
  <sheetData>
    <row r="1" spans="1:12">
      <c r="A1" s="2" t="s">
        <v>0</v>
      </c>
      <c r="D1" t="s">
        <v>1</v>
      </c>
      <c r="G1" t="s">
        <v>2</v>
      </c>
      <c r="H1" t="s">
        <v>3</v>
      </c>
      <c r="K1" t="s">
        <v>4</v>
      </c>
      <c r="L1" t="s">
        <v>5</v>
      </c>
    </row>
    <row r="2" spans="1:12">
      <c r="A2">
        <v>-30</v>
      </c>
      <c r="B2">
        <v>30</v>
      </c>
      <c r="D2">
        <v>10</v>
      </c>
      <c r="G2" t="s">
        <v>6</v>
      </c>
      <c r="H2" s="3" t="s">
        <v>7</v>
      </c>
      <c r="K2">
        <f>-(-12)/(50*10^-6)</f>
        <v>240000.00000000003</v>
      </c>
      <c r="L2" t="s">
        <v>8</v>
      </c>
    </row>
    <row r="3" spans="1:12" ht="18">
      <c r="A3" s="2" t="s">
        <v>9</v>
      </c>
      <c r="D3" t="s">
        <v>10</v>
      </c>
      <c r="G3" t="s">
        <v>11</v>
      </c>
      <c r="H3" s="3" t="s">
        <v>12</v>
      </c>
      <c r="K3">
        <f>0.3*10000/(12-0.3)</f>
        <v>256.41025641025641</v>
      </c>
      <c r="L3">
        <v>256</v>
      </c>
    </row>
    <row r="4" spans="1:12">
      <c r="A4" s="1">
        <f>A2*$D$2</f>
        <v>-300</v>
      </c>
      <c r="B4" s="1">
        <f>B2*$D$2</f>
        <v>300</v>
      </c>
      <c r="D4">
        <v>12</v>
      </c>
      <c r="H4" s="3" t="s">
        <v>13</v>
      </c>
    </row>
    <row r="5" spans="1:12">
      <c r="A5" t="s">
        <v>14</v>
      </c>
      <c r="H5" s="3" t="s">
        <v>15</v>
      </c>
    </row>
    <row r="6" spans="1:12">
      <c r="A6">
        <f>$D$4/(0.00005)</f>
        <v>240000</v>
      </c>
      <c r="H6" s="3" t="s">
        <v>16</v>
      </c>
    </row>
    <row r="7" spans="1:12">
      <c r="H7" s="3" t="s">
        <v>17</v>
      </c>
    </row>
    <row r="8" spans="1:12">
      <c r="H8" s="3" t="s">
        <v>18</v>
      </c>
    </row>
    <row r="9" spans="1:12">
      <c r="G9" t="s">
        <v>19</v>
      </c>
      <c r="H9" s="3" t="s">
        <v>20</v>
      </c>
      <c r="K9">
        <f>-3/(-0.3-0.3)*10000</f>
        <v>50000</v>
      </c>
      <c r="L9" t="s">
        <v>21</v>
      </c>
    </row>
    <row r="10" spans="1:12">
      <c r="H10" s="3" t="s">
        <v>22</v>
      </c>
    </row>
    <row r="11" spans="1:12">
      <c r="H11" s="3" t="s">
        <v>23</v>
      </c>
    </row>
    <row r="12" spans="1:12">
      <c r="H12" s="3" t="s">
        <v>24</v>
      </c>
    </row>
    <row r="14" spans="1:12">
      <c r="A14" t="s">
        <v>11</v>
      </c>
    </row>
    <row r="15" spans="1:12">
      <c r="A15" t="s">
        <v>25</v>
      </c>
    </row>
    <row r="16" spans="1:12">
      <c r="A16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Ahvonen, Jani</dc:creator>
  <cp:keywords/>
  <dc:description/>
  <cp:lastModifiedBy>Joenranta, Mikko</cp:lastModifiedBy>
  <cp:revision/>
  <dcterms:created xsi:type="dcterms:W3CDTF">2022-10-28T06:13:33Z</dcterms:created>
  <dcterms:modified xsi:type="dcterms:W3CDTF">2026-09-16T05:16:39Z</dcterms:modified>
  <cp:category/>
  <cp:contentStatus/>
</cp:coreProperties>
</file>