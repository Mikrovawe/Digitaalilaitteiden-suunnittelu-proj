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ikko\important\AMK\digitaalilaitteidensuunnittelu\Digitaalilaitteiden-suunnittelu-proj\"/>
    </mc:Choice>
  </mc:AlternateContent>
  <xr:revisionPtr revIDLastSave="0" documentId="13_ncr:1_{12633FD8-0E50-4DCE-ACA9-2BF9A55EB7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16" i="1"/>
  <c r="C9" i="1"/>
  <c r="B5" i="1"/>
  <c r="A5" i="1"/>
</calcChain>
</file>

<file path=xl/sharedStrings.xml><?xml version="1.0" encoding="utf-8"?>
<sst xmlns="http://schemas.openxmlformats.org/spreadsheetml/2006/main" count="26" uniqueCount="26">
  <si>
    <t>LM35 OUT (mV/◦C)</t>
  </si>
  <si>
    <t>Vastus</t>
  </si>
  <si>
    <t>Kaava</t>
  </si>
  <si>
    <t>Vastaus</t>
  </si>
  <si>
    <t>R1</t>
  </si>
  <si>
    <t>240k</t>
  </si>
  <si>
    <t>Vs(V)</t>
  </si>
  <si>
    <t>R3</t>
  </si>
  <si>
    <t>Uout=Uin*R3/(R2+R3)</t>
  </si>
  <si>
    <t>Uout*(R2+R3)=Uin*R3</t>
  </si>
  <si>
    <t>Uout*R2+Uout*R3=Uin*R3</t>
  </si>
  <si>
    <t>Uout*R2=Uin*R3-Uout*R3</t>
  </si>
  <si>
    <t>Uout*R2=R3*(Uin-Uout)</t>
  </si>
  <si>
    <t>R3=Uout*R2/(Uin-Uout)</t>
  </si>
  <si>
    <t>R7 ja R6</t>
  </si>
  <si>
    <t>Uout=-R7/R4*(Ur4-Ur5)</t>
  </si>
  <si>
    <t>50k</t>
  </si>
  <si>
    <t>Uout/(Ur4-Ur5)=-R7/R4</t>
  </si>
  <si>
    <t>Uout/(Ur4-Ur5)*R4=-R7</t>
  </si>
  <si>
    <t>R7=-Uout/(Ur4-Ur5)*R4</t>
  </si>
  <si>
    <t>sisäänmenojännite(mV)</t>
  </si>
  <si>
    <t>ulostulojännite(V)</t>
  </si>
  <si>
    <r>
      <t>Jännitteet minimi sekä maksimilämpötiloissa U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(mV)</t>
    </r>
  </si>
  <si>
    <r>
      <t>Minimi ja maksimilämpötilat T(</t>
    </r>
    <r>
      <rPr>
        <sz val="11"/>
        <color theme="1"/>
        <rFont val="Calibri"/>
        <family val="2"/>
      </rPr>
      <t>◦C)</t>
    </r>
  </si>
  <si>
    <t>-U / I</t>
  </si>
  <si>
    <t>Tarkka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</si>
</sst>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quotePrefix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quotePrefix="1" applyBorder="1"/>
    <xf numFmtId="0" fontId="0" fillId="0" borderId="0" xfId="0" applyBorder="1"/>
    <xf numFmtId="0" fontId="0" fillId="0" borderId="8" xfId="0" applyBorder="1"/>
    <xf numFmtId="0" fontId="0" fillId="0" borderId="5" xfId="0" quotePrefix="1" applyBorder="1"/>
    <xf numFmtId="0" fontId="0" fillId="0" borderId="9" xfId="0" applyBorder="1"/>
    <xf numFmtId="0" fontId="0" fillId="0" borderId="10" xfId="0" quotePrefix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7444444444444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ulostulojännite(V)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61"/>
              <c:pt idx="0">
                <c:v>-300</c:v>
              </c:pt>
              <c:pt idx="1">
                <c:v>-290</c:v>
              </c:pt>
              <c:pt idx="2">
                <c:v>-280</c:v>
              </c:pt>
              <c:pt idx="3">
                <c:v>-270</c:v>
              </c:pt>
              <c:pt idx="4">
                <c:v>-260</c:v>
              </c:pt>
              <c:pt idx="5">
                <c:v>-250</c:v>
              </c:pt>
              <c:pt idx="6">
                <c:v>-240</c:v>
              </c:pt>
              <c:pt idx="7">
                <c:v>-230</c:v>
              </c:pt>
              <c:pt idx="8">
                <c:v>-220</c:v>
              </c:pt>
              <c:pt idx="9">
                <c:v>-210</c:v>
              </c:pt>
              <c:pt idx="10">
                <c:v>-200</c:v>
              </c:pt>
              <c:pt idx="11">
                <c:v>-190</c:v>
              </c:pt>
              <c:pt idx="12">
                <c:v>-180</c:v>
              </c:pt>
              <c:pt idx="13">
                <c:v>-170</c:v>
              </c:pt>
              <c:pt idx="14">
                <c:v>-160</c:v>
              </c:pt>
              <c:pt idx="15">
                <c:v>-150</c:v>
              </c:pt>
              <c:pt idx="16">
                <c:v>-140</c:v>
              </c:pt>
              <c:pt idx="17">
                <c:v>-130</c:v>
              </c:pt>
              <c:pt idx="18">
                <c:v>-120</c:v>
              </c:pt>
              <c:pt idx="19">
                <c:v>-110</c:v>
              </c:pt>
              <c:pt idx="20">
                <c:v>-100</c:v>
              </c:pt>
              <c:pt idx="21">
                <c:v>-90</c:v>
              </c:pt>
              <c:pt idx="22">
                <c:v>-80</c:v>
              </c:pt>
              <c:pt idx="23">
                <c:v>-70</c:v>
              </c:pt>
              <c:pt idx="24">
                <c:v>-60</c:v>
              </c:pt>
              <c:pt idx="25">
                <c:v>-50</c:v>
              </c:pt>
              <c:pt idx="26">
                <c:v>-40</c:v>
              </c:pt>
              <c:pt idx="27">
                <c:v>-30</c:v>
              </c:pt>
              <c:pt idx="28">
                <c:v>-20</c:v>
              </c:pt>
              <c:pt idx="29">
                <c:v>-10</c:v>
              </c:pt>
              <c:pt idx="30">
                <c:v>0</c:v>
              </c:pt>
              <c:pt idx="31">
                <c:v>10</c:v>
              </c:pt>
              <c:pt idx="32">
                <c:v>20</c:v>
              </c:pt>
              <c:pt idx="33">
                <c:v>30</c:v>
              </c:pt>
              <c:pt idx="34">
                <c:v>40</c:v>
              </c:pt>
              <c:pt idx="35">
                <c:v>50</c:v>
              </c:pt>
              <c:pt idx="36">
                <c:v>60</c:v>
              </c:pt>
              <c:pt idx="37">
                <c:v>70</c:v>
              </c:pt>
              <c:pt idx="38">
                <c:v>80</c:v>
              </c:pt>
              <c:pt idx="39">
                <c:v>90</c:v>
              </c:pt>
              <c:pt idx="40">
                <c:v>100</c:v>
              </c:pt>
              <c:pt idx="41">
                <c:v>110</c:v>
              </c:pt>
              <c:pt idx="42">
                <c:v>120</c:v>
              </c:pt>
              <c:pt idx="43">
                <c:v>130</c:v>
              </c:pt>
              <c:pt idx="44">
                <c:v>140</c:v>
              </c:pt>
              <c:pt idx="45">
                <c:v>150</c:v>
              </c:pt>
              <c:pt idx="46">
                <c:v>160</c:v>
              </c:pt>
              <c:pt idx="47">
                <c:v>170</c:v>
              </c:pt>
              <c:pt idx="48">
                <c:v>180</c:v>
              </c:pt>
              <c:pt idx="49">
                <c:v>190</c:v>
              </c:pt>
              <c:pt idx="50">
                <c:v>200</c:v>
              </c:pt>
              <c:pt idx="51">
                <c:v>210</c:v>
              </c:pt>
              <c:pt idx="52">
                <c:v>220</c:v>
              </c:pt>
              <c:pt idx="53">
                <c:v>230</c:v>
              </c:pt>
              <c:pt idx="54">
                <c:v>240</c:v>
              </c:pt>
              <c:pt idx="55">
                <c:v>250</c:v>
              </c:pt>
              <c:pt idx="56">
                <c:v>260</c:v>
              </c:pt>
              <c:pt idx="57">
                <c:v>270</c:v>
              </c:pt>
              <c:pt idx="58">
                <c:v>280</c:v>
              </c:pt>
              <c:pt idx="59">
                <c:v>290</c:v>
              </c:pt>
              <c:pt idx="60">
                <c:v>300</c:v>
              </c:pt>
            </c:numLit>
          </c:xVal>
          <c:yVal>
            <c:numLit>
              <c:formatCode>General</c:formatCode>
              <c:ptCount val="61"/>
              <c:pt idx="0">
                <c:v>3.08</c:v>
              </c:pt>
              <c:pt idx="1">
                <c:v>3.04</c:v>
              </c:pt>
              <c:pt idx="2">
                <c:v>3</c:v>
              </c:pt>
              <c:pt idx="3">
                <c:v>2.95</c:v>
              </c:pt>
              <c:pt idx="4">
                <c:v>2.9</c:v>
              </c:pt>
              <c:pt idx="5">
                <c:v>2.85</c:v>
              </c:pt>
              <c:pt idx="6">
                <c:v>2.79</c:v>
              </c:pt>
              <c:pt idx="7">
                <c:v>2.75</c:v>
              </c:pt>
              <c:pt idx="8">
                <c:v>2.7</c:v>
              </c:pt>
              <c:pt idx="9">
                <c:v>2.66</c:v>
              </c:pt>
              <c:pt idx="10">
                <c:v>2.58</c:v>
              </c:pt>
              <c:pt idx="11">
                <c:v>2.5299999999999998</c:v>
              </c:pt>
              <c:pt idx="12">
                <c:v>2.48</c:v>
              </c:pt>
              <c:pt idx="13">
                <c:v>2.4300000000000002</c:v>
              </c:pt>
              <c:pt idx="14">
                <c:v>2.39</c:v>
              </c:pt>
              <c:pt idx="15">
                <c:v>2.34</c:v>
              </c:pt>
              <c:pt idx="16">
                <c:v>2.29</c:v>
              </c:pt>
              <c:pt idx="17">
                <c:v>2.25</c:v>
              </c:pt>
              <c:pt idx="18">
                <c:v>2.2000000000000002</c:v>
              </c:pt>
              <c:pt idx="19">
                <c:v>2.15</c:v>
              </c:pt>
              <c:pt idx="20">
                <c:v>2.09</c:v>
              </c:pt>
              <c:pt idx="21">
                <c:v>2.04</c:v>
              </c:pt>
              <c:pt idx="22">
                <c:v>1.99</c:v>
              </c:pt>
              <c:pt idx="23">
                <c:v>1.94</c:v>
              </c:pt>
              <c:pt idx="24">
                <c:v>1.9</c:v>
              </c:pt>
              <c:pt idx="25">
                <c:v>1.84</c:v>
              </c:pt>
              <c:pt idx="26">
                <c:v>1.8</c:v>
              </c:pt>
              <c:pt idx="27">
                <c:v>1.75</c:v>
              </c:pt>
              <c:pt idx="28">
                <c:v>1.71</c:v>
              </c:pt>
              <c:pt idx="29">
                <c:v>1.65</c:v>
              </c:pt>
              <c:pt idx="30">
                <c:v>1.61</c:v>
              </c:pt>
              <c:pt idx="31">
                <c:v>1.49</c:v>
              </c:pt>
              <c:pt idx="32">
                <c:v>1.43</c:v>
              </c:pt>
              <c:pt idx="33">
                <c:v>1.39</c:v>
              </c:pt>
              <c:pt idx="34">
                <c:v>1.34</c:v>
              </c:pt>
              <c:pt idx="35">
                <c:v>1.3</c:v>
              </c:pt>
              <c:pt idx="36">
                <c:v>1.24</c:v>
              </c:pt>
              <c:pt idx="37">
                <c:v>1.2</c:v>
              </c:pt>
              <c:pt idx="38">
                <c:v>1.1499999999999999</c:v>
              </c:pt>
              <c:pt idx="39">
                <c:v>1.1000000000000001</c:v>
              </c:pt>
              <c:pt idx="40">
                <c:v>1.05</c:v>
              </c:pt>
              <c:pt idx="41">
                <c:v>0.99</c:v>
              </c:pt>
              <c:pt idx="42">
                <c:v>0.93</c:v>
              </c:pt>
              <c:pt idx="43">
                <c:v>0.89</c:v>
              </c:pt>
              <c:pt idx="44">
                <c:v>0.85</c:v>
              </c:pt>
              <c:pt idx="45">
                <c:v>0.8</c:v>
              </c:pt>
              <c:pt idx="46">
                <c:v>0.75</c:v>
              </c:pt>
              <c:pt idx="47">
                <c:v>0.7</c:v>
              </c:pt>
              <c:pt idx="48">
                <c:v>0.65</c:v>
              </c:pt>
              <c:pt idx="49">
                <c:v>0.61</c:v>
              </c:pt>
              <c:pt idx="50">
                <c:v>0.56000000000000005</c:v>
              </c:pt>
              <c:pt idx="51">
                <c:v>0.48</c:v>
              </c:pt>
              <c:pt idx="52">
                <c:v>0.44</c:v>
              </c:pt>
              <c:pt idx="53">
                <c:v>0.39</c:v>
              </c:pt>
              <c:pt idx="54">
                <c:v>0.34</c:v>
              </c:pt>
              <c:pt idx="55">
                <c:v>0.28999999999999998</c:v>
              </c:pt>
              <c:pt idx="56">
                <c:v>0.24</c:v>
              </c:pt>
              <c:pt idx="57">
                <c:v>0.2</c:v>
              </c:pt>
              <c:pt idx="58">
                <c:v>0.15</c:v>
              </c:pt>
              <c:pt idx="59">
                <c:v>0.1</c:v>
              </c:pt>
              <c:pt idx="60">
                <c:v>0.05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75F-495E-B1F1-C2AE9E815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065487"/>
        <c:axId val="808074223"/>
      </c:scatterChart>
      <c:valAx>
        <c:axId val="808065487"/>
        <c:scaling>
          <c:orientation val="minMax"/>
          <c:max val="300"/>
          <c:min val="-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sisäänmenojännite(mV)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074223"/>
        <c:crosses val="autoZero"/>
        <c:crossBetween val="midCat"/>
      </c:valAx>
      <c:valAx>
        <c:axId val="808074223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ulostulojännite(V)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06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23</xdr:row>
      <xdr:rowOff>28575</xdr:rowOff>
    </xdr:from>
    <xdr:to>
      <xdr:col>6</xdr:col>
      <xdr:colOff>1662478</xdr:colOff>
      <xdr:row>37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4" zoomScaleNormal="100" workbookViewId="0">
      <selection activeCell="J9" sqref="J9"/>
    </sheetView>
  </sheetViews>
  <sheetFormatPr defaultRowHeight="15" x14ac:dyDescent="0.25"/>
  <cols>
    <col min="1" max="1" width="22.7109375" bestFit="1" customWidth="1"/>
    <col min="2" max="2" width="24.42578125" bestFit="1" customWidth="1"/>
    <col min="3" max="3" width="21" customWidth="1"/>
    <col min="7" max="7" width="9.5703125" customWidth="1"/>
  </cols>
  <sheetData>
    <row r="1" spans="1:4" x14ac:dyDescent="0.25">
      <c r="A1" s="2" t="s">
        <v>23</v>
      </c>
      <c r="C1" t="s">
        <v>0</v>
      </c>
    </row>
    <row r="2" spans="1:4" x14ac:dyDescent="0.25">
      <c r="A2">
        <v>-30</v>
      </c>
      <c r="B2">
        <v>30</v>
      </c>
      <c r="C2">
        <v>10</v>
      </c>
    </row>
    <row r="4" spans="1:4" ht="18" x14ac:dyDescent="0.35">
      <c r="A4" s="2" t="s">
        <v>22</v>
      </c>
      <c r="C4" t="s">
        <v>6</v>
      </c>
    </row>
    <row r="5" spans="1:4" x14ac:dyDescent="0.25">
      <c r="A5" s="1">
        <f>A2*$C$2</f>
        <v>-300</v>
      </c>
      <c r="B5" s="1">
        <f>B2*$C$2</f>
        <v>300</v>
      </c>
      <c r="C5">
        <v>12</v>
      </c>
    </row>
    <row r="7" spans="1:4" x14ac:dyDescent="0.25">
      <c r="A7" t="s">
        <v>1</v>
      </c>
      <c r="B7" t="s">
        <v>2</v>
      </c>
      <c r="C7" t="s">
        <v>25</v>
      </c>
      <c r="D7" t="s">
        <v>3</v>
      </c>
    </row>
    <row r="9" spans="1:4" x14ac:dyDescent="0.25">
      <c r="A9" s="15" t="s">
        <v>4</v>
      </c>
      <c r="B9" s="16" t="s">
        <v>24</v>
      </c>
      <c r="C9" s="17">
        <f>-(-12)/(50*10^-6)</f>
        <v>240000.00000000003</v>
      </c>
      <c r="D9" s="18" t="s">
        <v>5</v>
      </c>
    </row>
    <row r="10" spans="1:4" x14ac:dyDescent="0.25">
      <c r="A10" s="12"/>
      <c r="B10" s="12"/>
    </row>
    <row r="11" spans="1:4" x14ac:dyDescent="0.25">
      <c r="A11" s="3" t="s">
        <v>7</v>
      </c>
      <c r="B11" s="4" t="s">
        <v>8</v>
      </c>
      <c r="C11" s="5"/>
      <c r="D11" s="6"/>
    </row>
    <row r="12" spans="1:4" x14ac:dyDescent="0.25">
      <c r="A12" s="10"/>
      <c r="B12" s="11" t="s">
        <v>9</v>
      </c>
      <c r="C12" s="12"/>
      <c r="D12" s="13"/>
    </row>
    <row r="13" spans="1:4" x14ac:dyDescent="0.25">
      <c r="A13" s="10"/>
      <c r="B13" s="11" t="s">
        <v>10</v>
      </c>
      <c r="C13" s="12"/>
      <c r="D13" s="13"/>
    </row>
    <row r="14" spans="1:4" x14ac:dyDescent="0.25">
      <c r="A14" s="10"/>
      <c r="B14" s="11" t="s">
        <v>11</v>
      </c>
      <c r="C14" s="12"/>
      <c r="D14" s="13"/>
    </row>
    <row r="15" spans="1:4" x14ac:dyDescent="0.25">
      <c r="A15" s="10"/>
      <c r="B15" s="11" t="s">
        <v>12</v>
      </c>
      <c r="C15" s="12"/>
      <c r="D15" s="13"/>
    </row>
    <row r="16" spans="1:4" x14ac:dyDescent="0.25">
      <c r="A16" s="7"/>
      <c r="B16" s="14" t="s">
        <v>13</v>
      </c>
      <c r="C16" s="8">
        <f>0.3*10000/(12-0.3)</f>
        <v>256.41025641025641</v>
      </c>
      <c r="D16" s="9">
        <v>256</v>
      </c>
    </row>
    <row r="18" spans="1:4" x14ac:dyDescent="0.25">
      <c r="A18" s="3" t="s">
        <v>14</v>
      </c>
      <c r="B18" s="4" t="s">
        <v>15</v>
      </c>
      <c r="C18" s="5"/>
      <c r="D18" s="6"/>
    </row>
    <row r="19" spans="1:4" x14ac:dyDescent="0.25">
      <c r="A19" s="10"/>
      <c r="B19" s="11" t="s">
        <v>17</v>
      </c>
      <c r="C19" s="12"/>
      <c r="D19" s="13"/>
    </row>
    <row r="20" spans="1:4" x14ac:dyDescent="0.25">
      <c r="A20" s="10"/>
      <c r="B20" s="11" t="s">
        <v>18</v>
      </c>
      <c r="C20" s="12"/>
      <c r="D20" s="13"/>
    </row>
    <row r="21" spans="1:4" x14ac:dyDescent="0.25">
      <c r="A21" s="7"/>
      <c r="B21" s="14" t="s">
        <v>19</v>
      </c>
      <c r="C21" s="8">
        <f>-3/(-0.3-0.3)*10000</f>
        <v>50000</v>
      </c>
      <c r="D21" s="9" t="s">
        <v>16</v>
      </c>
    </row>
    <row r="24" spans="1:4" x14ac:dyDescent="0.25">
      <c r="A24" t="s">
        <v>20</v>
      </c>
      <c r="B24" t="s">
        <v>21</v>
      </c>
    </row>
    <row r="25" spans="1:4" x14ac:dyDescent="0.25">
      <c r="A25">
        <v>-300</v>
      </c>
      <c r="B25">
        <v>3.08</v>
      </c>
    </row>
    <row r="26" spans="1:4" x14ac:dyDescent="0.25">
      <c r="A26">
        <v>-290</v>
      </c>
      <c r="B26">
        <v>3.04</v>
      </c>
    </row>
    <row r="27" spans="1:4" x14ac:dyDescent="0.25">
      <c r="A27">
        <v>-280</v>
      </c>
      <c r="B27">
        <v>3</v>
      </c>
    </row>
    <row r="28" spans="1:4" x14ac:dyDescent="0.25">
      <c r="A28">
        <v>-270</v>
      </c>
      <c r="B28">
        <v>2.95</v>
      </c>
    </row>
    <row r="29" spans="1:4" x14ac:dyDescent="0.25">
      <c r="A29">
        <v>-260</v>
      </c>
      <c r="B29">
        <v>2.9</v>
      </c>
    </row>
    <row r="30" spans="1:4" x14ac:dyDescent="0.25">
      <c r="A30">
        <v>-250</v>
      </c>
      <c r="B30">
        <v>2.85</v>
      </c>
    </row>
    <row r="31" spans="1:4" x14ac:dyDescent="0.25">
      <c r="A31">
        <v>-240</v>
      </c>
      <c r="B31">
        <v>2.79</v>
      </c>
    </row>
    <row r="32" spans="1:4" x14ac:dyDescent="0.25">
      <c r="A32">
        <v>-230</v>
      </c>
      <c r="B32">
        <v>2.75</v>
      </c>
    </row>
    <row r="33" spans="1:2" x14ac:dyDescent="0.25">
      <c r="A33">
        <v>-220</v>
      </c>
      <c r="B33">
        <v>2.7</v>
      </c>
    </row>
    <row r="34" spans="1:2" x14ac:dyDescent="0.25">
      <c r="A34">
        <v>-210</v>
      </c>
      <c r="B34">
        <v>2.66</v>
      </c>
    </row>
    <row r="35" spans="1:2" x14ac:dyDescent="0.25">
      <c r="A35">
        <v>-200</v>
      </c>
      <c r="B35">
        <v>2.58</v>
      </c>
    </row>
    <row r="36" spans="1:2" x14ac:dyDescent="0.25">
      <c r="A36">
        <v>-190</v>
      </c>
      <c r="B36">
        <v>2.5299999999999998</v>
      </c>
    </row>
    <row r="37" spans="1:2" x14ac:dyDescent="0.25">
      <c r="A37">
        <v>-180</v>
      </c>
      <c r="B37">
        <v>2.48</v>
      </c>
    </row>
    <row r="38" spans="1:2" x14ac:dyDescent="0.25">
      <c r="A38">
        <v>-170</v>
      </c>
      <c r="B38">
        <v>2.4300000000000002</v>
      </c>
    </row>
    <row r="39" spans="1:2" x14ac:dyDescent="0.25">
      <c r="A39">
        <v>-160</v>
      </c>
      <c r="B39">
        <v>2.39</v>
      </c>
    </row>
    <row r="40" spans="1:2" x14ac:dyDescent="0.25">
      <c r="A40">
        <v>-150</v>
      </c>
      <c r="B40">
        <v>2.34</v>
      </c>
    </row>
    <row r="41" spans="1:2" x14ac:dyDescent="0.25">
      <c r="A41">
        <v>-140</v>
      </c>
      <c r="B41">
        <v>2.29</v>
      </c>
    </row>
    <row r="42" spans="1:2" x14ac:dyDescent="0.25">
      <c r="A42">
        <v>-130</v>
      </c>
      <c r="B42">
        <v>2.25</v>
      </c>
    </row>
    <row r="43" spans="1:2" x14ac:dyDescent="0.25">
      <c r="A43">
        <v>-120</v>
      </c>
      <c r="B43">
        <v>2.2000000000000002</v>
      </c>
    </row>
    <row r="44" spans="1:2" x14ac:dyDescent="0.25">
      <c r="A44">
        <v>-110</v>
      </c>
      <c r="B44">
        <v>2.15</v>
      </c>
    </row>
    <row r="45" spans="1:2" x14ac:dyDescent="0.25">
      <c r="A45">
        <v>-100</v>
      </c>
      <c r="B45">
        <v>2.09</v>
      </c>
    </row>
    <row r="46" spans="1:2" x14ac:dyDescent="0.25">
      <c r="A46">
        <v>-90</v>
      </c>
      <c r="B46">
        <v>2.04</v>
      </c>
    </row>
    <row r="47" spans="1:2" x14ac:dyDescent="0.25">
      <c r="A47">
        <v>-80</v>
      </c>
      <c r="B47">
        <v>1.99</v>
      </c>
    </row>
    <row r="48" spans="1:2" x14ac:dyDescent="0.25">
      <c r="A48">
        <v>-70</v>
      </c>
      <c r="B48">
        <v>1.94</v>
      </c>
    </row>
    <row r="49" spans="1:2" x14ac:dyDescent="0.25">
      <c r="A49">
        <v>-60</v>
      </c>
      <c r="B49">
        <v>1.9</v>
      </c>
    </row>
    <row r="50" spans="1:2" x14ac:dyDescent="0.25">
      <c r="A50">
        <v>-50</v>
      </c>
      <c r="B50">
        <v>1.84</v>
      </c>
    </row>
    <row r="51" spans="1:2" x14ac:dyDescent="0.25">
      <c r="A51">
        <v>-40</v>
      </c>
      <c r="B51">
        <v>1.8</v>
      </c>
    </row>
    <row r="52" spans="1:2" x14ac:dyDescent="0.25">
      <c r="A52">
        <v>-30</v>
      </c>
      <c r="B52">
        <v>1.75</v>
      </c>
    </row>
    <row r="53" spans="1:2" x14ac:dyDescent="0.25">
      <c r="A53">
        <v>-20</v>
      </c>
      <c r="B53">
        <v>1.71</v>
      </c>
    </row>
    <row r="54" spans="1:2" x14ac:dyDescent="0.25">
      <c r="A54">
        <v>-10</v>
      </c>
      <c r="B54">
        <v>1.65</v>
      </c>
    </row>
    <row r="55" spans="1:2" x14ac:dyDescent="0.25">
      <c r="A55">
        <v>0</v>
      </c>
      <c r="B55">
        <v>1.61</v>
      </c>
    </row>
    <row r="56" spans="1:2" x14ac:dyDescent="0.25">
      <c r="A56">
        <v>10</v>
      </c>
      <c r="B56">
        <v>1.49</v>
      </c>
    </row>
    <row r="57" spans="1:2" x14ac:dyDescent="0.25">
      <c r="A57">
        <v>20</v>
      </c>
      <c r="B57">
        <v>1.43</v>
      </c>
    </row>
    <row r="58" spans="1:2" x14ac:dyDescent="0.25">
      <c r="A58">
        <v>30</v>
      </c>
      <c r="B58">
        <v>1.39</v>
      </c>
    </row>
    <row r="59" spans="1:2" x14ac:dyDescent="0.25">
      <c r="A59">
        <v>40</v>
      </c>
      <c r="B59">
        <v>1.34</v>
      </c>
    </row>
    <row r="60" spans="1:2" x14ac:dyDescent="0.25">
      <c r="A60">
        <v>50</v>
      </c>
      <c r="B60">
        <v>1.3</v>
      </c>
    </row>
    <row r="61" spans="1:2" x14ac:dyDescent="0.25">
      <c r="A61">
        <v>60</v>
      </c>
      <c r="B61">
        <v>1.24</v>
      </c>
    </row>
    <row r="62" spans="1:2" x14ac:dyDescent="0.25">
      <c r="A62">
        <v>70</v>
      </c>
      <c r="B62">
        <v>1.2</v>
      </c>
    </row>
    <row r="63" spans="1:2" x14ac:dyDescent="0.25">
      <c r="A63">
        <v>80</v>
      </c>
      <c r="B63">
        <v>1.1499999999999999</v>
      </c>
    </row>
    <row r="64" spans="1:2" x14ac:dyDescent="0.25">
      <c r="A64">
        <v>90</v>
      </c>
      <c r="B64">
        <v>1.1000000000000001</v>
      </c>
    </row>
    <row r="65" spans="1:2" x14ac:dyDescent="0.25">
      <c r="A65">
        <v>100</v>
      </c>
      <c r="B65">
        <v>1.05</v>
      </c>
    </row>
    <row r="66" spans="1:2" x14ac:dyDescent="0.25">
      <c r="A66">
        <v>110</v>
      </c>
      <c r="B66">
        <v>0.99</v>
      </c>
    </row>
    <row r="67" spans="1:2" x14ac:dyDescent="0.25">
      <c r="A67">
        <v>120</v>
      </c>
      <c r="B67">
        <v>0.93</v>
      </c>
    </row>
    <row r="68" spans="1:2" x14ac:dyDescent="0.25">
      <c r="A68">
        <v>130</v>
      </c>
      <c r="B68">
        <v>0.89</v>
      </c>
    </row>
    <row r="69" spans="1:2" x14ac:dyDescent="0.25">
      <c r="A69">
        <v>140</v>
      </c>
      <c r="B69">
        <v>0.85</v>
      </c>
    </row>
    <row r="70" spans="1:2" x14ac:dyDescent="0.25">
      <c r="A70">
        <v>150</v>
      </c>
      <c r="B70">
        <v>0.8</v>
      </c>
    </row>
    <row r="71" spans="1:2" x14ac:dyDescent="0.25">
      <c r="A71">
        <v>160</v>
      </c>
      <c r="B71">
        <v>0.75</v>
      </c>
    </row>
    <row r="72" spans="1:2" x14ac:dyDescent="0.25">
      <c r="A72">
        <v>170</v>
      </c>
      <c r="B72">
        <v>0.7</v>
      </c>
    </row>
    <row r="73" spans="1:2" x14ac:dyDescent="0.25">
      <c r="A73">
        <v>180</v>
      </c>
      <c r="B73">
        <v>0.65</v>
      </c>
    </row>
    <row r="74" spans="1:2" x14ac:dyDescent="0.25">
      <c r="A74">
        <v>190</v>
      </c>
      <c r="B74">
        <v>0.61</v>
      </c>
    </row>
    <row r="75" spans="1:2" x14ac:dyDescent="0.25">
      <c r="A75">
        <v>200</v>
      </c>
      <c r="B75">
        <v>0.56000000000000005</v>
      </c>
    </row>
    <row r="76" spans="1:2" x14ac:dyDescent="0.25">
      <c r="A76">
        <v>210</v>
      </c>
      <c r="B76">
        <v>0.48</v>
      </c>
    </row>
    <row r="77" spans="1:2" x14ac:dyDescent="0.25">
      <c r="A77">
        <v>220</v>
      </c>
      <c r="B77">
        <v>0.44</v>
      </c>
    </row>
    <row r="78" spans="1:2" x14ac:dyDescent="0.25">
      <c r="A78">
        <v>230</v>
      </c>
      <c r="B78">
        <v>0.39</v>
      </c>
    </row>
    <row r="79" spans="1:2" x14ac:dyDescent="0.25">
      <c r="A79">
        <v>240</v>
      </c>
      <c r="B79">
        <v>0.34</v>
      </c>
    </row>
    <row r="80" spans="1:2" x14ac:dyDescent="0.25">
      <c r="A80">
        <v>250</v>
      </c>
      <c r="B80">
        <v>0.28999999999999998</v>
      </c>
    </row>
    <row r="81" spans="1:2" x14ac:dyDescent="0.25">
      <c r="A81">
        <v>260</v>
      </c>
      <c r="B81">
        <v>0.24</v>
      </c>
    </row>
    <row r="82" spans="1:2" x14ac:dyDescent="0.25">
      <c r="A82">
        <v>270</v>
      </c>
      <c r="B82">
        <v>0.2</v>
      </c>
    </row>
    <row r="83" spans="1:2" x14ac:dyDescent="0.25">
      <c r="A83">
        <v>280</v>
      </c>
      <c r="B83">
        <v>0.15</v>
      </c>
    </row>
    <row r="84" spans="1:2" x14ac:dyDescent="0.25">
      <c r="A84">
        <v>290</v>
      </c>
      <c r="B84">
        <v>0.1</v>
      </c>
    </row>
    <row r="85" spans="1:2" x14ac:dyDescent="0.25">
      <c r="A85">
        <v>300</v>
      </c>
      <c r="B85">
        <v>0.05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Ahvonen, Jani</dc:creator>
  <cp:keywords/>
  <dc:description/>
  <cp:lastModifiedBy>Joenranta, Mikko</cp:lastModifiedBy>
  <cp:revision/>
  <dcterms:created xsi:type="dcterms:W3CDTF">2022-10-28T06:13:33Z</dcterms:created>
  <dcterms:modified xsi:type="dcterms:W3CDTF">2026-10-26T11:27:59Z</dcterms:modified>
  <cp:category/>
  <cp:contentStatus/>
</cp:coreProperties>
</file>