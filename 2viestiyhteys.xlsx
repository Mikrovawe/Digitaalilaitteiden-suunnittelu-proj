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/>
  <xr:revisionPtr revIDLastSave="0" documentId="13_ncr:1_{87CFB94A-BE37-4D9A-9008-A81E6617A002}" xr6:coauthVersionLast="47" xr6:coauthVersionMax="47" xr10:uidLastSave="{00000000-0000-0000-0000-000000000000}"/>
  <bookViews>
    <workbookView xWindow="-25320" yWindow="-120" windowWidth="2544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24" i="1" s="1"/>
  <c r="C18" i="1" l="1"/>
  <c r="C19" i="1" s="1"/>
  <c r="C6" i="1"/>
  <c r="C8" i="1" s="1"/>
  <c r="C12" i="1"/>
  <c r="C14" i="1" s="1"/>
</calcChain>
</file>

<file path=xl/sharedStrings.xml><?xml version="1.0" encoding="utf-8"?>
<sst xmlns="http://schemas.openxmlformats.org/spreadsheetml/2006/main" count="42" uniqueCount="31">
  <si>
    <t>I</t>
  </si>
  <si>
    <t>A</t>
  </si>
  <si>
    <t>U</t>
  </si>
  <si>
    <t>V</t>
  </si>
  <si>
    <t>U/I</t>
  </si>
  <si>
    <t>Ohm</t>
  </si>
  <si>
    <t>R2</t>
  </si>
  <si>
    <t>Uin</t>
  </si>
  <si>
    <t>R2:</t>
  </si>
  <si>
    <t>R1:</t>
  </si>
  <si>
    <t>IL</t>
  </si>
  <si>
    <t>0-20mA</t>
  </si>
  <si>
    <t>0-3V</t>
  </si>
  <si>
    <t>R1</t>
  </si>
  <si>
    <t>IL=Uin/R1</t>
  </si>
  <si>
    <t>R1=Uin/IL</t>
  </si>
  <si>
    <t>R3:</t>
  </si>
  <si>
    <t>R3</t>
  </si>
  <si>
    <t>8kV</t>
  </si>
  <si>
    <t>f</t>
  </si>
  <si>
    <t>C</t>
  </si>
  <si>
    <t>F</t>
  </si>
  <si>
    <t>Hz</t>
  </si>
  <si>
    <t>Komponentti</t>
  </si>
  <si>
    <t>Arvo/Kaava</t>
  </si>
  <si>
    <t>Lähetin</t>
  </si>
  <si>
    <t>Vastaanotin</t>
  </si>
  <si>
    <t>Alipäästösuodattimen rajataajuus</t>
  </si>
  <si>
    <t>1/(2*pi*R3*C)</t>
  </si>
  <si>
    <t>Yksikkö</t>
  </si>
  <si>
    <t>Lasku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</si>
</sst>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168519</xdr:colOff>
      <xdr:row>1</xdr:row>
      <xdr:rowOff>102576</xdr:rowOff>
    </xdr:from>
    <xdr:to>
      <xdr:col>11</xdr:col>
      <xdr:colOff>109904</xdr:colOff>
      <xdr:row>19</xdr:row>
      <xdr:rowOff>75499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FD5B88-34BC-F0C9-2C89-F7A0BE139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5327" y="293076"/>
          <a:ext cx="4198327" cy="3401923"/>
        </a:xfrm>
        <a:prstGeom prst="rect">
          <a:avLst/>
        </a:prstGeom>
      </xdr:spPr>
    </xdr:pic>
    <xdr:clientData/>
  </xdr:twoCellAnchor>
  <xdr:twoCellAnchor editAs="oneCell">
    <xdr:from>
      <xdr:col>3</xdr:col>
      <xdr:colOff>439616</xdr:colOff>
      <xdr:row>21</xdr:row>
      <xdr:rowOff>7327</xdr:rowOff>
    </xdr:from>
    <xdr:to>
      <xdr:col>5</xdr:col>
      <xdr:colOff>204558</xdr:colOff>
      <xdr:row>23</xdr:row>
      <xdr:rowOff>121696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F67D9F-6570-9760-B120-339D6F0AC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8289" y="4007827"/>
          <a:ext cx="981212" cy="495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4"/>
  <sheetViews>
    <sheetView tabSelected="1" zoomScale="130" zoomScaleNormal="130" workbookViewId="0">
      <selection activeCell="P14" sqref="P14"/>
    </sheetView>
  </sheetViews>
  <sheetFormatPr defaultRowHeight="15" x14ac:dyDescent="0.25"/>
  <cols>
    <col min="1" max="1" width="12.7109375" bestFit="1" customWidth="1"/>
    <col min="2" max="2" width="13.42578125" bestFit="1" customWidth="1"/>
  </cols>
  <sheetData>
    <row r="2" spans="1:4" x14ac:dyDescent="0.25">
      <c r="A2" t="s">
        <v>23</v>
      </c>
      <c r="B2" t="s">
        <v>24</v>
      </c>
      <c r="C2" t="s">
        <v>30</v>
      </c>
      <c r="D2" t="s">
        <v>29</v>
      </c>
    </row>
    <row r="3" spans="1:4" x14ac:dyDescent="0.25">
      <c r="A3" s="2" t="s">
        <v>25</v>
      </c>
      <c r="B3" s="3"/>
      <c r="C3" s="3"/>
      <c r="D3" s="4"/>
    </row>
    <row r="4" spans="1:4" x14ac:dyDescent="0.25">
      <c r="A4" s="5" t="s">
        <v>9</v>
      </c>
      <c r="B4" s="6"/>
      <c r="C4" s="6"/>
      <c r="D4" s="7"/>
    </row>
    <row r="5" spans="1:4" x14ac:dyDescent="0.25">
      <c r="A5" s="5" t="s">
        <v>7</v>
      </c>
      <c r="B5" s="6" t="s">
        <v>12</v>
      </c>
      <c r="C5" s="6">
        <v>3</v>
      </c>
      <c r="D5" s="7" t="s">
        <v>3</v>
      </c>
    </row>
    <row r="6" spans="1:4" x14ac:dyDescent="0.25">
      <c r="A6" s="5" t="s">
        <v>10</v>
      </c>
      <c r="B6" s="6" t="s">
        <v>11</v>
      </c>
      <c r="C6" s="6">
        <f>20*10^(-3)</f>
        <v>0.02</v>
      </c>
      <c r="D6" s="7" t="s">
        <v>1</v>
      </c>
    </row>
    <row r="7" spans="1:4" x14ac:dyDescent="0.25">
      <c r="A7" s="5" t="s">
        <v>13</v>
      </c>
      <c r="B7" s="6" t="s">
        <v>14</v>
      </c>
      <c r="C7" s="6"/>
      <c r="D7" s="7"/>
    </row>
    <row r="8" spans="1:4" x14ac:dyDescent="0.25">
      <c r="A8" s="8"/>
      <c r="B8" s="9" t="s">
        <v>15</v>
      </c>
      <c r="C8" s="9">
        <f>C5/C6</f>
        <v>150</v>
      </c>
      <c r="D8" s="10" t="s">
        <v>5</v>
      </c>
    </row>
    <row r="10" spans="1:4" x14ac:dyDescent="0.25">
      <c r="A10" s="1" t="s">
        <v>26</v>
      </c>
    </row>
    <row r="11" spans="1:4" x14ac:dyDescent="0.25">
      <c r="A11" s="11" t="s">
        <v>8</v>
      </c>
      <c r="B11" s="3"/>
      <c r="C11" s="3"/>
      <c r="D11" s="4"/>
    </row>
    <row r="12" spans="1:4" x14ac:dyDescent="0.25">
      <c r="A12" s="5" t="s">
        <v>0</v>
      </c>
      <c r="B12" s="6"/>
      <c r="C12" s="6">
        <f>20*10^(-3)</f>
        <v>0.02</v>
      </c>
      <c r="D12" s="7" t="s">
        <v>1</v>
      </c>
    </row>
    <row r="13" spans="1:4" x14ac:dyDescent="0.25">
      <c r="A13" s="5" t="s">
        <v>2</v>
      </c>
      <c r="B13" s="6"/>
      <c r="C13" s="6">
        <v>5</v>
      </c>
      <c r="D13" s="7" t="s">
        <v>3</v>
      </c>
    </row>
    <row r="14" spans="1:4" x14ac:dyDescent="0.25">
      <c r="A14" s="8" t="s">
        <v>6</v>
      </c>
      <c r="B14" s="9" t="s">
        <v>4</v>
      </c>
      <c r="C14" s="9">
        <f>C13/C12</f>
        <v>250</v>
      </c>
      <c r="D14" s="10" t="s">
        <v>5</v>
      </c>
    </row>
    <row r="16" spans="1:4" x14ac:dyDescent="0.25">
      <c r="A16" s="11" t="s">
        <v>16</v>
      </c>
      <c r="B16" s="3"/>
      <c r="C16" s="3"/>
      <c r="D16" s="4"/>
    </row>
    <row r="17" spans="1:4" x14ac:dyDescent="0.25">
      <c r="A17" s="5" t="s">
        <v>2</v>
      </c>
      <c r="B17" s="6" t="s">
        <v>18</v>
      </c>
      <c r="C17" s="6">
        <v>8000</v>
      </c>
      <c r="D17" s="7" t="s">
        <v>3</v>
      </c>
    </row>
    <row r="18" spans="1:4" x14ac:dyDescent="0.25">
      <c r="A18" s="5" t="s">
        <v>0</v>
      </c>
      <c r="B18" s="6"/>
      <c r="C18" s="6">
        <f>8*10^(-1)</f>
        <v>0.8</v>
      </c>
      <c r="D18" s="7" t="s">
        <v>1</v>
      </c>
    </row>
    <row r="19" spans="1:4" x14ac:dyDescent="0.25">
      <c r="A19" s="8" t="s">
        <v>17</v>
      </c>
      <c r="B19" s="9" t="s">
        <v>4</v>
      </c>
      <c r="C19" s="9">
        <f>C17/C18</f>
        <v>10000</v>
      </c>
      <c r="D19" s="10" t="s">
        <v>5</v>
      </c>
    </row>
    <row r="21" spans="1:4" x14ac:dyDescent="0.25">
      <c r="A21" s="1" t="s">
        <v>27</v>
      </c>
    </row>
    <row r="22" spans="1:4" x14ac:dyDescent="0.25">
      <c r="A22" s="11" t="s">
        <v>20</v>
      </c>
      <c r="B22" s="3">
        <f>100*10^-9</f>
        <v>1.0000000000000001E-7</v>
      </c>
      <c r="C22" s="3" t="s">
        <v>21</v>
      </c>
      <c r="D22" s="4"/>
    </row>
    <row r="23" spans="1:4" x14ac:dyDescent="0.25">
      <c r="A23" s="5" t="s">
        <v>17</v>
      </c>
      <c r="B23" s="6">
        <v>10000</v>
      </c>
      <c r="C23" s="6" t="s">
        <v>5</v>
      </c>
      <c r="D23" s="7"/>
    </row>
    <row r="24" spans="1:4" x14ac:dyDescent="0.25">
      <c r="A24" s="8" t="s">
        <v>19</v>
      </c>
      <c r="B24" s="9" t="s">
        <v>28</v>
      </c>
      <c r="C24" s="9">
        <f>1/(2*3.1415*B23*B22)</f>
        <v>159.15963711602737</v>
      </c>
      <c r="D24" s="10" t="s">
        <v>22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2026-10-29T11:48:42Z</dcterms:modified>
</cp:coreProperties>
</file>