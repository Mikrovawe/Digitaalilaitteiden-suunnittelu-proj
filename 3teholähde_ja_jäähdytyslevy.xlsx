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9" i="1"/>
  <c r="I8" i="1" l="1"/>
  <c r="C23" i="1"/>
  <c r="I6" i="1"/>
</calcChain>
</file>

<file path=xl/sharedStrings.xml><?xml version="1.0" encoding="utf-8"?>
<sst xmlns="http://schemas.openxmlformats.org/spreadsheetml/2006/main" count="39" uniqueCount="32">
  <si>
    <t>V</t>
  </si>
  <si>
    <t>U</t>
  </si>
  <si>
    <t>L1</t>
  </si>
  <si>
    <t>Henry</t>
  </si>
  <si>
    <t>UL2</t>
  </si>
  <si>
    <t>UL1</t>
  </si>
  <si>
    <t>UL2/UL1=sqrt(L2/L1)</t>
  </si>
  <si>
    <t>(UL2/UL1)^2=L2/L1</t>
  </si>
  <si>
    <t>L2=(UL2/UL1)^2*L1</t>
  </si>
  <si>
    <t>I</t>
  </si>
  <si>
    <t>A</t>
  </si>
  <si>
    <t>U/I</t>
  </si>
  <si>
    <t>R3 ja R4</t>
  </si>
  <si>
    <t>Ohm</t>
  </si>
  <si>
    <t xml:space="preserve">I </t>
  </si>
  <si>
    <t xml:space="preserve">▲U </t>
  </si>
  <si>
    <t xml:space="preserve">▲t </t>
  </si>
  <si>
    <t>ohm</t>
  </si>
  <si>
    <t>R1</t>
  </si>
  <si>
    <t>R2</t>
  </si>
  <si>
    <t>Vout</t>
  </si>
  <si>
    <t>vastukset r3,r4</t>
  </si>
  <si>
    <t>vastukset r1,r2</t>
  </si>
  <si>
    <t>mA</t>
  </si>
  <si>
    <t>C3 ja C4</t>
  </si>
  <si>
    <t>ms</t>
  </si>
  <si>
    <t>µF</t>
  </si>
  <si>
    <t>konkat c3,c4</t>
  </si>
  <si>
    <t>Hakkuri</t>
  </si>
  <si>
    <t>käämit/muuntaja L2,L4</t>
  </si>
  <si>
    <t>L2 ja L4</t>
  </si>
  <si>
    <t>Käämi/muuntaja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</si>
</sst>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602975</xdr:colOff>
      <xdr:row>0</xdr:row>
      <xdr:rowOff>6626</xdr:rowOff>
    </xdr:from>
    <xdr:to>
      <xdr:col>7</xdr:col>
      <xdr:colOff>75788</xdr:colOff>
      <xdr:row>5</xdr:row>
      <xdr:rowOff>140128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92" r="3810"/>
        <a:stretch/>
      </xdr:blipFill>
      <xdr:spPr>
        <a:xfrm>
          <a:off x="3535018" y="387626"/>
          <a:ext cx="1311552" cy="108600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24848</xdr:rowOff>
    </xdr:from>
    <xdr:to>
      <xdr:col>7</xdr:col>
      <xdr:colOff>165018</xdr:colOff>
      <xdr:row>10</xdr:row>
      <xdr:rowOff>43980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4957" y="1739348"/>
          <a:ext cx="1390844" cy="590632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11</xdr:row>
      <xdr:rowOff>57979</xdr:rowOff>
    </xdr:from>
    <xdr:to>
      <xdr:col>8</xdr:col>
      <xdr:colOff>1230803</xdr:colOff>
      <xdr:row>18</xdr:row>
      <xdr:rowOff>134376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4653" y="2534479"/>
          <a:ext cx="3019846" cy="140989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8</xdr:col>
      <xdr:colOff>44246</xdr:colOff>
      <xdr:row>40</xdr:row>
      <xdr:rowOff>143081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9913" y="6286500"/>
          <a:ext cx="2495898" cy="1476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"/>
  <sheetViews>
    <sheetView tabSelected="1" topLeftCell="A19" zoomScale="115" zoomScaleNormal="115" workbookViewId="0">
      <selection activeCell="K40" sqref="K40"/>
    </sheetView>
  </sheetViews>
  <sheetFormatPr defaultRowHeight="15" x14ac:dyDescent="0.25"/>
  <cols>
    <col min="1" max="1" width="21.5703125" bestFit="1" customWidth="1"/>
    <col min="9" max="9" width="18.85546875" bestFit="1" customWidth="1"/>
  </cols>
  <sheetData>
    <row r="2" spans="1:10" x14ac:dyDescent="0.25">
      <c r="A2" t="s">
        <v>29</v>
      </c>
    </row>
    <row r="3" spans="1:10" x14ac:dyDescent="0.25">
      <c r="A3" t="s">
        <v>5</v>
      </c>
      <c r="B3">
        <v>230</v>
      </c>
      <c r="C3" t="s">
        <v>0</v>
      </c>
      <c r="I3" t="s">
        <v>6</v>
      </c>
    </row>
    <row r="4" spans="1:10" x14ac:dyDescent="0.25">
      <c r="A4" t="s">
        <v>4</v>
      </c>
      <c r="B4">
        <v>24</v>
      </c>
      <c r="C4" t="s">
        <v>0</v>
      </c>
      <c r="I4" t="s">
        <v>7</v>
      </c>
    </row>
    <row r="5" spans="1:10" x14ac:dyDescent="0.25">
      <c r="A5" t="s">
        <v>2</v>
      </c>
      <c r="B5">
        <v>3000</v>
      </c>
      <c r="C5" t="s">
        <v>3</v>
      </c>
      <c r="I5" t="s">
        <v>8</v>
      </c>
    </row>
    <row r="6" spans="1:10" x14ac:dyDescent="0.25">
      <c r="A6" t="s">
        <v>30</v>
      </c>
      <c r="B6">
        <v>33</v>
      </c>
      <c r="C6" t="s">
        <v>3</v>
      </c>
      <c r="I6">
        <f>(B4/B3)^2*B5</f>
        <v>32.665406427221171</v>
      </c>
    </row>
    <row r="8" spans="1:10" x14ac:dyDescent="0.25">
      <c r="A8" t="s">
        <v>27</v>
      </c>
      <c r="I8">
        <f>B9*B11/B10</f>
        <v>600</v>
      </c>
    </row>
    <row r="9" spans="1:10" x14ac:dyDescent="0.25">
      <c r="A9" s="2" t="s">
        <v>14</v>
      </c>
      <c r="B9" s="2">
        <f>0.3*10^3</f>
        <v>300</v>
      </c>
      <c r="C9" s="2" t="s">
        <v>23</v>
      </c>
      <c r="D9" s="3"/>
    </row>
    <row r="10" spans="1:10" x14ac:dyDescent="0.25">
      <c r="A10" s="2" t="s">
        <v>15</v>
      </c>
      <c r="B10" s="2">
        <v>5</v>
      </c>
      <c r="C10" s="2" t="s">
        <v>0</v>
      </c>
      <c r="D10" s="3"/>
    </row>
    <row r="11" spans="1:10" x14ac:dyDescent="0.25">
      <c r="A11" s="2" t="s">
        <v>16</v>
      </c>
      <c r="B11" s="2">
        <f>0.01*10^3</f>
        <v>10</v>
      </c>
      <c r="C11" s="2" t="s">
        <v>25</v>
      </c>
      <c r="D11" s="3"/>
      <c r="I11" s="1"/>
      <c r="J11" s="1"/>
    </row>
    <row r="12" spans="1:10" x14ac:dyDescent="0.25">
      <c r="A12" s="2" t="s">
        <v>24</v>
      </c>
      <c r="B12">
        <v>600</v>
      </c>
      <c r="C12" s="2" t="s">
        <v>26</v>
      </c>
      <c r="D12" s="3"/>
      <c r="I12" s="1"/>
      <c r="J12" s="1"/>
    </row>
    <row r="13" spans="1:10" x14ac:dyDescent="0.25">
      <c r="I13" s="1"/>
      <c r="J13" s="1"/>
    </row>
    <row r="14" spans="1:10" x14ac:dyDescent="0.25">
      <c r="A14" s="2" t="s">
        <v>22</v>
      </c>
      <c r="B14" s="3"/>
      <c r="C14" s="3"/>
      <c r="D14" s="3"/>
    </row>
    <row r="15" spans="1:10" x14ac:dyDescent="0.25">
      <c r="A15" s="2" t="s">
        <v>20</v>
      </c>
      <c r="B15" s="2">
        <v>12</v>
      </c>
      <c r="C15" s="2" t="s">
        <v>0</v>
      </c>
      <c r="D15" s="3"/>
    </row>
    <row r="16" spans="1:10" x14ac:dyDescent="0.25">
      <c r="A16" s="2" t="s">
        <v>18</v>
      </c>
      <c r="B16" s="2">
        <v>470</v>
      </c>
      <c r="C16" s="2" t="s">
        <v>17</v>
      </c>
      <c r="D16" s="3"/>
    </row>
    <row r="17" spans="1:4" x14ac:dyDescent="0.25">
      <c r="A17" s="2" t="s">
        <v>0</v>
      </c>
      <c r="B17" s="2">
        <v>1.25</v>
      </c>
      <c r="C17" s="2" t="s">
        <v>0</v>
      </c>
      <c r="D17" s="3"/>
    </row>
    <row r="18" spans="1:4" x14ac:dyDescent="0.25">
      <c r="A18" s="2" t="s">
        <v>19</v>
      </c>
      <c r="B18" s="2">
        <v>4042</v>
      </c>
      <c r="C18" s="2"/>
      <c r="D18" s="3"/>
    </row>
    <row r="19" spans="1:4" x14ac:dyDescent="0.25">
      <c r="B19" s="3"/>
      <c r="C19" s="3"/>
      <c r="D19" s="3"/>
    </row>
    <row r="20" spans="1:4" x14ac:dyDescent="0.25">
      <c r="A20" s="2" t="s">
        <v>21</v>
      </c>
      <c r="B20" s="3"/>
      <c r="C20" s="3"/>
      <c r="D20" s="3"/>
    </row>
    <row r="21" spans="1:4" x14ac:dyDescent="0.25">
      <c r="A21" t="s">
        <v>1</v>
      </c>
      <c r="B21" s="3">
        <v>12</v>
      </c>
      <c r="C21" s="3" t="s">
        <v>0</v>
      </c>
      <c r="D21" s="3"/>
    </row>
    <row r="22" spans="1:4" x14ac:dyDescent="0.25">
      <c r="A22" t="s">
        <v>9</v>
      </c>
      <c r="B22" s="3">
        <v>0.3</v>
      </c>
      <c r="C22" s="3" t="s">
        <v>10</v>
      </c>
      <c r="D22" s="3"/>
    </row>
    <row r="23" spans="1:4" x14ac:dyDescent="0.25">
      <c r="A23" t="s">
        <v>12</v>
      </c>
      <c r="B23" s="3" t="s">
        <v>11</v>
      </c>
      <c r="C23" s="3">
        <f>B21/B22</f>
        <v>40</v>
      </c>
      <c r="D23" s="3" t="s">
        <v>13</v>
      </c>
    </row>
    <row r="26" spans="1:4" x14ac:dyDescent="0.25">
      <c r="A26" s="4" t="s">
        <v>28</v>
      </c>
    </row>
    <row r="28" spans="1:4" x14ac:dyDescent="0.25">
      <c r="A28" t="s">
        <v>31</v>
      </c>
    </row>
    <row r="29" spans="1:4" x14ac:dyDescent="0.25">
      <c r="A29">
        <v>230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2026-10-20T08:31:52Z</dcterms:modified>
</cp:coreProperties>
</file>